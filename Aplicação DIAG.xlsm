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cas Peres\Desktop\everton\boot Camp RECLAME AQUI\Desafio de Projeto\"/>
    </mc:Choice>
  </mc:AlternateContent>
  <xr:revisionPtr revIDLastSave="0" documentId="13_ncr:1_{C523178B-0EC0-4189-9D89-1C4A232687DD}" xr6:coauthVersionLast="47" xr6:coauthVersionMax="47" xr10:uidLastSave="{00000000-0000-0000-0000-000000000000}"/>
  <bookViews>
    <workbookView xWindow="-120" yWindow="-120" windowWidth="29040" windowHeight="15720" xr2:uid="{A6D378E8-F41F-4E46-BF4C-DBD121AD7F45}"/>
  </bookViews>
  <sheets>
    <sheet name="Simulador" sheetId="1" r:id="rId1"/>
    <sheet name="Background" sheetId="2" state="hidden" r:id="rId2"/>
  </sheets>
  <definedNames>
    <definedName name="_xleta.VLOOKUP" hidden="1" xlm="1">#NAME?</definedName>
    <definedName name="Idade">Simulador!$E$12</definedName>
    <definedName name="patrimonio">Simulador!$E$31</definedName>
    <definedName name="patrimonio_ac">Simulador!$E$31</definedName>
    <definedName name="Percentagem_desejada">Simulador!$E$12</definedName>
    <definedName name="Percentual_Recomendado">Simulador!$E$17</definedName>
    <definedName name="Perfil">Simulador!$E$13</definedName>
    <definedName name="Quanto_investir_por_mes">Simulador!$E$26</definedName>
    <definedName name="Quantos_anos">Simulador!$E$27</definedName>
    <definedName name="recomendacao20">Background!$E$4</definedName>
    <definedName name="Resposta10">Background!$E$3</definedName>
    <definedName name="Retonro_mensal">Simulador!$E$32</definedName>
    <definedName name="Salario">Simulador!$E$11</definedName>
    <definedName name="taxa_rendimento">Simulador!$E$28</definedName>
    <definedName name="valor_a_ser_investido">Simulador!$E$18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7" i="1" l="1" a="1"/>
  <c r="E17" i="1" s="1"/>
  <c r="E18" i="1" s="1"/>
  <c r="C47" i="1"/>
  <c r="C48" i="1"/>
  <c r="C49" i="1"/>
  <c r="C50" i="1"/>
  <c r="C51" i="1"/>
  <c r="C46" i="1"/>
  <c r="D51" i="1" l="1"/>
  <c r="D46" i="1"/>
  <c r="D50" i="1"/>
  <c r="D49" i="1"/>
  <c r="D48" i="1"/>
  <c r="D47" i="1"/>
  <c r="E49" i="1"/>
  <c r="E48" i="1"/>
  <c r="E47" i="1"/>
  <c r="E46" i="1"/>
  <c r="E51" i="1"/>
  <c r="E50" i="1"/>
  <c r="B20" i="1" a="1"/>
  <c r="B20" i="1" s="1"/>
  <c r="D39" i="1"/>
  <c r="E39" i="1" s="1"/>
  <c r="D40" i="1"/>
  <c r="E40" i="1" s="1"/>
  <c r="D41" i="1"/>
  <c r="E41" i="1" s="1"/>
  <c r="D38" i="1"/>
  <c r="E38" i="1" s="1"/>
  <c r="D37" i="1"/>
  <c r="E37" i="1" s="1"/>
  <c r="E31" i="1"/>
  <c r="E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<sst xmlns="http://schemas.openxmlformats.org/spreadsheetml/2006/main" count="124" uniqueCount="75">
  <si>
    <t>Qual o Patrimonio acumulado terei ?</t>
  </si>
  <si>
    <t>Quanto terei em 2 anos ?</t>
  </si>
  <si>
    <t>Quanto terei em 5 anos ?</t>
  </si>
  <si>
    <t>Quanto terei em 10 anos ?</t>
  </si>
  <si>
    <t>Quanto terei em 20 anos ?</t>
  </si>
  <si>
    <t>Quanto terei em 30 anos ?</t>
  </si>
  <si>
    <t>Patrimonio</t>
  </si>
  <si>
    <t>Quanto é o Retorno mensal ?</t>
  </si>
  <si>
    <t>Idade</t>
  </si>
  <si>
    <t>Valor a ser investido</t>
  </si>
  <si>
    <t xml:space="preserve">Quanto pode investir por mês ? </t>
  </si>
  <si>
    <t>Percentual Recomendado</t>
  </si>
  <si>
    <t xml:space="preserve">Se conheça : </t>
  </si>
  <si>
    <t>Quantos anos desejo investir ?</t>
  </si>
  <si>
    <t xml:space="preserve">De Acordo com sua realidade veja oque indicamos : </t>
  </si>
  <si>
    <t>Agressivo</t>
  </si>
  <si>
    <t>Moderado</t>
  </si>
  <si>
    <t xml:space="preserve">Analise Combinatoria de Perfil </t>
  </si>
  <si>
    <t>Percentual</t>
  </si>
  <si>
    <t>Perfil de Investimento</t>
  </si>
  <si>
    <t>&lt;=45</t>
  </si>
  <si>
    <t>45+</t>
  </si>
  <si>
    <t>Respostas Automaticas De acordo com Cada perfil</t>
  </si>
  <si>
    <t>De acordo com o seu perfil, nós recomendamos que invista 30% do seu rendimento mensal aproveitando a sua capacidade financeira para continuar buscando performance e multiplicação no mercado de capitais, estruturando paralelamente uma sólida estratégia de planejamento sucessório.</t>
  </si>
  <si>
    <t>De acordo com o seu perfil, nós recomendamos que invista 10% do seu rendimento mensal priorizando a blindagem do seu capital em opções estruturadas e seguras de renda fixa, focando na preservação do patrimônio já conquistado na sua fase madura da carreira.</t>
  </si>
  <si>
    <t>De acordo com o seu perfil, nós recomendamos que invista 20% do seu rendimento mensal focando em uma estratégia balanceada que traga proteção patrimonial aliada a uma fatia controlada de diversificação para superar a inflação, mantendo uma boa consistência de aportes no médio prazo.</t>
  </si>
  <si>
    <t>Em qual Perfil se considera :</t>
  </si>
  <si>
    <t>Salario/Receita mensal :</t>
  </si>
  <si>
    <t>De acordo com o seu perfil, nós recomendamos que invista 25% do seu rendimento mensal direcionando seus investimentos para estratégias focadas em geração de renda recorrente e proventos estáveis, ajudando a complementar o seu fluxo de caixa e blindar seu poder de compra.</t>
  </si>
  <si>
    <t>Conservador</t>
  </si>
  <si>
    <t>De acordo com o seu perfil, nós recomendamos que invista 22% do seu rendimento mensal priorizando a segurança absoluta e a liquidez imediata do seu dinheiro, garantindo que o seu capital esteja totalmente protegido, previsível e disponível para manter o seu conforto nesta etapa da vida.</t>
  </si>
  <si>
    <t>De acordo com o seu perfil, nós recomendamos que invista 15% do seu rendimento mensal buscando o equilíbrio clássico entre proteção e valorização, ideal para o seu momento de vida onde consolidar conquistas e buscar pequenos ganhos reais em mercados diversificados andam lado a lado.</t>
  </si>
  <si>
    <t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t>
  </si>
  <si>
    <t>De acordo com o seu perfil, nós recomendamos que invista 15% do seu rendimento mensal focando na construção da sua primeira reserva de segurança em opções previsíveis e de alta liquidez, aproveitando o restante dos seus recursos para se capacitar e alavancar seus ganhos profissionais no início da carreira.</t>
  </si>
  <si>
    <t>Qual sua Idade em anos :</t>
  </si>
  <si>
    <t>De acordo com o seu perfil, nós recomendamos que invista 20% do seu rendimento mensal de maneira arrojada para capturar grandes ciclos econômicos, utilizando a sua capacidade de poupança atual para absorver riscos e buscar uma evolução patrimonial mais acelerada.</t>
  </si>
  <si>
    <t>Use a  ferramenta da Diag para guiar seu plano de investimentos em FII's.</t>
  </si>
  <si>
    <t>De acordo com os seus dados apresentados acima simule e veja os possiveis Cenarios :</t>
  </si>
  <si>
    <t>Retorno Mensal</t>
  </si>
  <si>
    <t>*</t>
  </si>
  <si>
    <t>Simule  seu Investimento Mensal</t>
  </si>
  <si>
    <t>Veja ao Longo dos anos  :</t>
  </si>
  <si>
    <t>Taxa de  rendimento</t>
  </si>
  <si>
    <t>Tipo de Fii</t>
  </si>
  <si>
    <t>PAPEL</t>
  </si>
  <si>
    <t>TIJOLO</t>
  </si>
  <si>
    <t>HÍBRIDOS</t>
  </si>
  <si>
    <t>FOF'S</t>
  </si>
  <si>
    <t>DESENVOLVIMENTO</t>
  </si>
  <si>
    <t>HOTELARIAS</t>
  </si>
  <si>
    <t>Perfil</t>
  </si>
  <si>
    <t>%</t>
  </si>
  <si>
    <t>Chave</t>
  </si>
  <si>
    <t>Conservador-PAPEL</t>
  </si>
  <si>
    <t>Conservador-TIJOLO</t>
  </si>
  <si>
    <t>Conservador-HÍBRIDOS</t>
  </si>
  <si>
    <t>Conservador-FOF'S</t>
  </si>
  <si>
    <t>Conservador-DESENVOLVIMENTO</t>
  </si>
  <si>
    <t>Conservador-HOTELARIAS</t>
  </si>
  <si>
    <t>Moderado-PAPEL</t>
  </si>
  <si>
    <t>Moderado-TIJOLO</t>
  </si>
  <si>
    <t>Moderado-HÍBRIDOS</t>
  </si>
  <si>
    <t>Moderado-FOF'S</t>
  </si>
  <si>
    <t>Moderado-DESENVOLVIMENTO</t>
  </si>
  <si>
    <t>Moderado-HOTELARIAS</t>
  </si>
  <si>
    <t>Agressivo-PAPEL</t>
  </si>
  <si>
    <t>Agressivo-TIJOLO</t>
  </si>
  <si>
    <t>Agressivo-HÍBRIDOS</t>
  </si>
  <si>
    <t>Agressivo-FOF'S</t>
  </si>
  <si>
    <t>Agressivo-DESENVOLVIMENTO</t>
  </si>
  <si>
    <t>Agressivo-HOTELARIAS</t>
  </si>
  <si>
    <t xml:space="preserve">Veja a Composiçao de Carteira Indicada Seu Perfil de Investidor : </t>
  </si>
  <si>
    <t>Sua simulação</t>
  </si>
  <si>
    <t>Indicado pela Diag.</t>
  </si>
  <si>
    <t>*Baseado em uma media geral em investimentos em FII's.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</si>
</sst>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6"/>
      <color theme="2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i/>
      <sz val="14"/>
      <color theme="1"/>
      <name val="Segoe UI"/>
      <family val="2"/>
    </font>
    <font>
      <sz val="8"/>
      <name val="Aptos Narrow"/>
      <family val="2"/>
      <scheme val="minor"/>
    </font>
    <font>
      <b/>
      <i/>
      <sz val="11"/>
      <color theme="1"/>
      <name val="Segoe UI"/>
      <family val="2"/>
    </font>
    <font>
      <i/>
      <sz val="11"/>
      <color theme="2"/>
      <name val="Segoe UI"/>
      <family val="2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E32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rgb="FF0E3264"/>
      </left>
      <right/>
      <top style="medium">
        <color rgb="FF0E3264"/>
      </top>
      <bottom/>
      <diagonal/>
    </border>
    <border>
      <left/>
      <right style="medium">
        <color rgb="FF0E3264"/>
      </right>
      <top style="medium">
        <color rgb="FF0E3264"/>
      </top>
      <bottom/>
      <diagonal/>
    </border>
    <border>
      <left style="medium">
        <color rgb="FF0E3264"/>
      </left>
      <right/>
      <top/>
      <bottom style="medium">
        <color rgb="FF0E3264"/>
      </bottom>
      <diagonal/>
    </border>
    <border>
      <left/>
      <right style="medium">
        <color rgb="FF0E3264"/>
      </right>
      <top/>
      <bottom style="medium">
        <color rgb="FF0E3264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medium">
        <color rgb="FF0E3264"/>
      </top>
      <bottom/>
      <diagonal/>
    </border>
    <border>
      <left style="medium">
        <color rgb="FF0E3264"/>
      </left>
      <right/>
      <top style="medium">
        <color rgb="FF0E3264"/>
      </top>
      <bottom style="medium">
        <color rgb="FF0E3264"/>
      </bottom>
      <diagonal/>
    </border>
    <border>
      <left/>
      <right style="medium">
        <color rgb="FF0E3264"/>
      </right>
      <top style="medium">
        <color rgb="FF0E3264"/>
      </top>
      <bottom style="medium">
        <color rgb="FF0E3264"/>
      </bottom>
      <diagonal/>
    </border>
    <border>
      <left style="medium">
        <color rgb="FF0E3264"/>
      </left>
      <right style="medium">
        <color rgb="FF0E3264"/>
      </right>
      <top style="medium">
        <color rgb="FF0E3264"/>
      </top>
      <bottom/>
      <diagonal/>
    </border>
    <border>
      <left/>
      <right/>
      <top/>
      <bottom style="medium">
        <color rgb="FF0E3264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medium">
        <color rgb="FF0E3264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medium">
        <color rgb="FF0E3264"/>
      </bottom>
      <diagonal/>
    </border>
    <border>
      <left/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E3264"/>
      </top>
      <bottom style="thin">
        <color theme="0" tint="-0.24994659260841701"/>
      </bottom>
      <diagonal/>
    </border>
    <border>
      <left/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0E32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2" borderId="17" xfId="0" applyFont="1" applyFill="1" applyBorder="1"/>
    <xf numFmtId="9" fontId="3" fillId="0" borderId="0" xfId="0" applyNumberFormat="1" applyFont="1"/>
    <xf numFmtId="9" fontId="0" fillId="0" borderId="0" xfId="2" applyFont="1"/>
    <xf numFmtId="9" fontId="0" fillId="0" borderId="0" xfId="2" applyFont="1" applyAlignment="1">
      <alignment horizontal="center"/>
    </xf>
    <xf numFmtId="0" fontId="2" fillId="4" borderId="19" xfId="0" applyFont="1" applyFill="1" applyBorder="1"/>
    <xf numFmtId="0" fontId="2" fillId="4" borderId="0" xfId="0" applyFont="1" applyFill="1"/>
    <xf numFmtId="44" fontId="6" fillId="5" borderId="8" xfId="1" applyFont="1" applyFill="1" applyBorder="1"/>
    <xf numFmtId="0" fontId="7" fillId="3" borderId="12" xfId="0" applyFont="1" applyFill="1" applyBorder="1" applyAlignment="1">
      <alignment horizontal="center" vertical="center"/>
    </xf>
    <xf numFmtId="8" fontId="6" fillId="5" borderId="6" xfId="0" applyNumberFormat="1" applyFont="1" applyFill="1" applyBorder="1"/>
    <xf numFmtId="8" fontId="6" fillId="5" borderId="8" xfId="0" applyNumberFormat="1" applyFont="1" applyFill="1" applyBorder="1"/>
    <xf numFmtId="0" fontId="0" fillId="0" borderId="20" xfId="0" applyBorder="1"/>
    <xf numFmtId="9" fontId="2" fillId="4" borderId="0" xfId="2" applyFont="1" applyFill="1"/>
    <xf numFmtId="9" fontId="0" fillId="0" borderId="20" xfId="2" applyFont="1" applyBorder="1"/>
    <xf numFmtId="9" fontId="0" fillId="0" borderId="0" xfId="2" applyFont="1" applyFill="1" applyBorder="1"/>
    <xf numFmtId="0" fontId="6" fillId="0" borderId="5" xfId="0" applyFont="1" applyBorder="1"/>
    <xf numFmtId="0" fontId="6" fillId="0" borderId="7" xfId="0" applyFont="1" applyBorder="1"/>
    <xf numFmtId="44" fontId="6" fillId="0" borderId="9" xfId="1" applyFont="1" applyBorder="1"/>
    <xf numFmtId="44" fontId="6" fillId="0" borderId="6" xfId="1" applyFont="1" applyBorder="1"/>
    <xf numFmtId="44" fontId="6" fillId="0" borderId="13" xfId="1" applyFont="1" applyBorder="1"/>
    <xf numFmtId="44" fontId="6" fillId="0" borderId="8" xfId="1" applyFont="1" applyBorder="1"/>
    <xf numFmtId="9" fontId="6" fillId="0" borderId="9" xfId="2" applyFont="1" applyBorder="1"/>
    <xf numFmtId="9" fontId="6" fillId="0" borderId="13" xfId="2" applyFont="1" applyBorder="1"/>
    <xf numFmtId="0" fontId="7" fillId="3" borderId="25" xfId="0" applyFont="1" applyFill="1" applyBorder="1" applyAlignment="1">
      <alignment horizontal="center" vertical="center"/>
    </xf>
    <xf numFmtId="8" fontId="6" fillId="5" borderId="21" xfId="0" applyNumberFormat="1" applyFont="1" applyFill="1" applyBorder="1"/>
    <xf numFmtId="8" fontId="6" fillId="5" borderId="26" xfId="0" applyNumberFormat="1" applyFont="1" applyFill="1" applyBorder="1"/>
    <xf numFmtId="0" fontId="5" fillId="3" borderId="14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8" fontId="6" fillId="5" borderId="12" xfId="0" applyNumberFormat="1" applyFont="1" applyFill="1" applyBorder="1"/>
    <xf numFmtId="0" fontId="10" fillId="0" borderId="0" xfId="0" applyFont="1"/>
    <xf numFmtId="10" fontId="6" fillId="5" borderId="8" xfId="0" applyNumberFormat="1" applyFont="1" applyFill="1" applyBorder="1"/>
    <xf numFmtId="0" fontId="8" fillId="0" borderId="0" xfId="0" applyFont="1"/>
    <xf numFmtId="9" fontId="6" fillId="5" borderId="6" xfId="2" applyFont="1" applyFill="1" applyBorder="1"/>
    <xf numFmtId="0" fontId="11" fillId="2" borderId="15" xfId="0" applyFont="1" applyFill="1" applyBorder="1"/>
    <xf numFmtId="0" fontId="11" fillId="2" borderId="15" xfId="0" applyFont="1" applyFill="1" applyBorder="1" applyAlignment="1">
      <alignment horizontal="right"/>
    </xf>
    <xf numFmtId="0" fontId="12" fillId="0" borderId="0" xfId="0" applyFont="1"/>
    <xf numFmtId="44" fontId="6" fillId="3" borderId="6" xfId="1" applyFont="1" applyFill="1" applyBorder="1" applyProtection="1">
      <protection locked="0"/>
    </xf>
    <xf numFmtId="0" fontId="6" fillId="3" borderId="6" xfId="0" applyFont="1" applyFill="1" applyBorder="1" applyProtection="1">
      <protection locked="0"/>
    </xf>
    <xf numFmtId="44" fontId="6" fillId="3" borderId="6" xfId="1" applyFont="1" applyFill="1" applyBorder="1" applyAlignment="1" applyProtection="1">
      <alignment horizontal="center"/>
      <protection locked="0"/>
    </xf>
    <xf numFmtId="1" fontId="6" fillId="3" borderId="6" xfId="2" applyNumberFormat="1" applyFont="1" applyFill="1" applyBorder="1" applyAlignment="1" applyProtection="1">
      <alignment horizontal="right"/>
      <protection locked="0"/>
    </xf>
    <xf numFmtId="1" fontId="6" fillId="3" borderId="8" xfId="2" applyNumberFormat="1" applyFont="1" applyFill="1" applyBorder="1" applyAlignment="1" applyProtection="1">
      <alignment horizontal="center"/>
      <protection locked="0"/>
    </xf>
    <xf numFmtId="44" fontId="0" fillId="0" borderId="0" xfId="0" applyNumberFormat="1"/>
    <xf numFmtId="44" fontId="13" fillId="0" borderId="0" xfId="0" applyNumberFormat="1" applyFont="1"/>
    <xf numFmtId="0" fontId="7" fillId="5" borderId="24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7" fillId="5" borderId="23" xfId="0" applyFont="1" applyFill="1" applyBorder="1" applyAlignment="1">
      <alignment vertical="center"/>
    </xf>
    <xf numFmtId="0" fontId="7" fillId="5" borderId="21" xfId="0" applyFont="1" applyFill="1" applyBorder="1" applyAlignment="1">
      <alignment vertical="center"/>
    </xf>
    <xf numFmtId="0" fontId="4" fillId="2" borderId="22" xfId="0" applyFont="1" applyFill="1" applyBorder="1" applyAlignment="1">
      <alignment horizontal="left"/>
    </xf>
    <xf numFmtId="0" fontId="4" fillId="2" borderId="28" xfId="0" applyFont="1" applyFill="1" applyBorder="1" applyAlignment="1">
      <alignment horizontal="left"/>
    </xf>
    <xf numFmtId="0" fontId="4" fillId="2" borderId="29" xfId="0" applyFont="1" applyFill="1" applyBorder="1" applyAlignment="1">
      <alignment horizontal="left"/>
    </xf>
    <xf numFmtId="0" fontId="7" fillId="5" borderId="24" xfId="0" applyFont="1" applyFill="1" applyBorder="1" applyAlignment="1">
      <alignment horizontal="left" vertical="center"/>
    </xf>
    <xf numFmtId="0" fontId="7" fillId="5" borderId="30" xfId="0" applyFont="1" applyFill="1" applyBorder="1" applyAlignment="1">
      <alignment horizontal="left" vertical="center"/>
    </xf>
    <xf numFmtId="0" fontId="7" fillId="5" borderId="26" xfId="0" applyFont="1" applyFill="1" applyBorder="1" applyAlignment="1">
      <alignment horizontal="left" vertical="center"/>
    </xf>
    <xf numFmtId="0" fontId="7" fillId="5" borderId="23" xfId="0" applyFont="1" applyFill="1" applyBorder="1" applyAlignment="1">
      <alignment horizontal="left" vertical="center"/>
    </xf>
    <xf numFmtId="0" fontId="7" fillId="5" borderId="27" xfId="0" applyFont="1" applyFill="1" applyBorder="1" applyAlignment="1">
      <alignment horizontal="left" vertical="center"/>
    </xf>
    <xf numFmtId="0" fontId="7" fillId="5" borderId="21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/>
    </xf>
    <xf numFmtId="0" fontId="4" fillId="2" borderId="1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left" vertical="center"/>
    </xf>
    <xf numFmtId="0" fontId="5" fillId="3" borderId="27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5" fillId="3" borderId="30" xfId="0" applyFont="1" applyFill="1" applyBorder="1" applyAlignment="1">
      <alignment horizontal="left" vertical="center"/>
    </xf>
    <xf numFmtId="0" fontId="5" fillId="3" borderId="26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5" fillId="5" borderId="7" xfId="0" applyFont="1" applyFill="1" applyBorder="1" applyAlignment="1">
      <alignment horizontal="left" vertical="center"/>
    </xf>
    <xf numFmtId="0" fontId="5" fillId="5" borderId="1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E3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C2-46EC-96C4-B59572E50357}"/>
              </c:ext>
            </c:extLst>
          </c:dPt>
          <c:dPt>
            <c:idx val="1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C2-46EC-96C4-B59572E50357}"/>
              </c:ext>
            </c:extLst>
          </c:dPt>
          <c:dPt>
            <c:idx val="2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C2-46EC-96C4-B59572E50357}"/>
              </c:ext>
            </c:extLst>
          </c:dPt>
          <c:dPt>
            <c:idx val="3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C2-46EC-96C4-B59572E50357}"/>
              </c:ext>
            </c:extLst>
          </c:dPt>
          <c:dPt>
            <c:idx val="4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C2-46EC-96C4-B59572E50357}"/>
              </c:ext>
            </c:extLst>
          </c:dPt>
          <c:dPt>
            <c:idx val="5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C2-46EC-96C4-B59572E503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Simulador!$B$46:$B$51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FOF'S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Simulador!$C$46:$C$51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D-456A-98EC-695026622D0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419100</xdr:colOff>
      <xdr:row>0</xdr:row>
      <xdr:rowOff>0</xdr:rowOff>
    </xdr:from>
    <xdr:to>
      <xdr:col>3</xdr:col>
      <xdr:colOff>1333500</xdr:colOff>
      <xdr:row>7</xdr:row>
      <xdr:rowOff>38101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0FB35B8-4A58-3C73-F7B3-9EDEFD7C4A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250" b="32749"/>
        <a:stretch>
          <a:fillRect/>
        </a:stretch>
      </xdr:blipFill>
      <xdr:spPr>
        <a:xfrm>
          <a:off x="752475" y="0"/>
          <a:ext cx="4791075" cy="1371601"/>
        </a:xfrm>
        <a:prstGeom prst="rect">
          <a:avLst/>
        </a:prstGeom>
      </xdr:spPr>
    </xdr:pic>
    <xdr:clientData/>
  </xdr:twoCellAnchor>
  <xdr:twoCellAnchor>
    <xdr:from>
      <xdr:col>1</xdr:col>
      <xdr:colOff>895350</xdr:colOff>
      <xdr:row>52</xdr:row>
      <xdr:rowOff>76200</xdr:rowOff>
    </xdr:from>
    <xdr:to>
      <xdr:col>4</xdr:col>
      <xdr:colOff>142875</xdr:colOff>
      <xdr:row>66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7117970-FCD1-0F83-3756-88C2F028F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2162174</xdr:colOff>
      <xdr:row>68</xdr:row>
      <xdr:rowOff>47625</xdr:rowOff>
    </xdr:from>
    <xdr:to>
      <xdr:col>3</xdr:col>
      <xdr:colOff>361950</xdr:colOff>
      <xdr:row>70</xdr:row>
      <xdr:rowOff>28575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97C0D29-CF70-6E23-FE47-BCCD8D9732C1}"/>
            </a:ext>
          </a:extLst>
        </xdr:cNvPr>
        <xdr:cNvGrpSpPr/>
      </xdr:nvGrpSpPr>
      <xdr:grpSpPr>
        <a:xfrm>
          <a:off x="2495549" y="15030450"/>
          <a:ext cx="2076451" cy="381000"/>
          <a:chOff x="2171699" y="14982825"/>
          <a:chExt cx="2076451" cy="381000"/>
        </a:xfrm>
        <a:solidFill>
          <a:srgbClr val="0E3264"/>
        </a:solidFill>
      </xdr:grpSpPr>
      <xdr:sp macro="[0]!imprimirPDF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FE8469E-5243-D00A-CE91-B67222EBE1F0}"/>
              </a:ext>
            </a:extLst>
          </xdr:cNvPr>
          <xdr:cNvSpPr/>
        </xdr:nvSpPr>
        <xdr:spPr>
          <a:xfrm>
            <a:off x="2171699" y="14982825"/>
            <a:ext cx="2076451" cy="381000"/>
          </a:xfrm>
          <a:prstGeom prst="roundRect">
            <a:avLst/>
          </a:prstGeom>
          <a:grpFill/>
          <a:ln>
            <a:solidFill>
              <a:srgbClr val="0E326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imprimirPDF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F1856DA6-6A6A-93BD-3DDE-193534C7D044}"/>
              </a:ext>
            </a:extLst>
          </xdr:cNvPr>
          <xdr:cNvSpPr txBox="1"/>
        </xdr:nvSpPr>
        <xdr:spPr>
          <a:xfrm>
            <a:off x="2200275" y="15001875"/>
            <a:ext cx="2038350" cy="276225"/>
          </a:xfrm>
          <a:prstGeom prst="rect">
            <a:avLst/>
          </a:prstGeom>
          <a:grpFill/>
          <a:ln w="9525" cmpd="sng">
            <a:solidFill>
              <a:srgbClr val="0E32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i="1" u="none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    </a:t>
            </a:r>
            <a:r>
              <a:rPr lang="pt-BR" sz="1100" b="1" i="1" u="sng">
                <a:solidFill>
                  <a:schemeClr val="bg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Salvar PDF da Simulação</a:t>
            </a:r>
          </a:p>
        </xdr:txBody>
      </xdr:sp>
    </xdr:grpSp>
    <xdr:clientData fPrintsWithSheet="0"/>
  </xdr:twoCellAnchor>
  <xdr:twoCellAnchor editAs="oneCell">
    <xdr:from>
      <xdr:col>4</xdr:col>
      <xdr:colOff>428625</xdr:colOff>
      <xdr:row>91</xdr:row>
      <xdr:rowOff>15625</xdr:rowOff>
    </xdr:from>
    <xdr:to>
      <xdr:col>5</xdr:col>
      <xdr:colOff>104775</xdr:colOff>
      <xdr:row>92</xdr:row>
      <xdr:rowOff>66674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5C902D8-02E8-DA35-83F3-2FD2D61C6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722850"/>
          <a:ext cx="923925" cy="2415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3C728B-7040-408F-A1D9-DA7E5F95B1E7}" name="Tabela2" displayName="Tabela2" ref="A2:C11" totalsRowShown="0">
  <autoFilter ref="A2:C11" xr:uid="{013C728B-7040-408F-A1D9-DA7E5F95B1E7}"/>
  <tableColumns count="3">
    <tableColumn id="1" xr3:uid="{62DFBBB5-2725-4615-BC51-35FC3E5CFDB7}" name="Idade" dataDxfId="2"/>
    <tableColumn id="2" xr3:uid="{85B4504F-C005-4CE6-8339-FA3B05D0B04D}" name="Percentual" dataDxfId="1" dataCellStyle="Porcentagem"/>
    <tableColumn id="3" xr3:uid="{9C254F10-1BEC-424E-8F78-9ED938919C9A}" name="Perfil de Investiment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58FE82-CDA2-41FF-A84D-83C8B2657662}" name="Tabela3" displayName="Tabela3" ref="E1:E11" totalsRowShown="0">
  <autoFilter ref="E1:E11" xr:uid="{4358FE82-CDA2-41FF-A84D-83C8B2657662}"/>
  <tableColumns count="1">
    <tableColumn id="1" xr3:uid="{245E0867-515C-4AB5-BD2B-3E899708D66E}" name="Respostas Automaticas De acordo com Cada perfil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FD18D9-2DBA-4A73-B76E-AB0141E00522}" name="Tabela1" displayName="Tabela1" ref="A15:D33" totalsRowShown="0">
  <autoFilter ref="A15:D33" xr:uid="{DEFD18D9-2DBA-4A73-B76E-AB0141E00522}"/>
  <tableColumns count="4">
    <tableColumn id="1" xr3:uid="{CE4D57E0-DBF6-4E9A-874A-066C772CC214}" name="Chave"/>
    <tableColumn id="2" xr3:uid="{9C4054E3-CF96-4870-80D1-72ACD4CD40FB}" name="Perfil"/>
    <tableColumn id="3" xr3:uid="{310868CE-8FE1-469E-8BB6-FBFAE9408212}" name="Tipo de Fii"/>
    <tableColumn id="4" xr3:uid="{D6CC0214-0E81-4143-9150-055A49D20B3D}" name="%" dataDxfId="0" dataCellStyle="Porcentage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C02D7-6CBD-46FF-9D6F-D18C310C3C6C}">
  <sheetPr>
    <pageSetUpPr fitToPage="1"/>
  </sheetPr>
  <dimension ref="A1:J98"/>
  <sheetViews>
    <sheetView showGridLines="0" showRowColHeaders="0" tabSelected="1" workbookViewId="0">
      <selection activeCell="E26" sqref="E26"/>
    </sheetView>
  </sheetViews>
  <sheetFormatPr defaultColWidth="0" defaultRowHeight="15" zeroHeight="1" x14ac:dyDescent="0.25"/>
  <cols>
    <col min="1" max="1" width="5" customWidth="1"/>
    <col min="2" max="2" width="42.42578125" bestFit="1" customWidth="1"/>
    <col min="3" max="3" width="15.7109375" bestFit="1" customWidth="1"/>
    <col min="4" max="4" width="22.140625" bestFit="1" customWidth="1"/>
    <col min="5" max="5" width="18.7109375" bestFit="1" customWidth="1"/>
    <col min="6" max="6" width="3.140625" customWidth="1"/>
    <col min="7" max="8" width="13.5703125" hidden="1" customWidth="1"/>
    <col min="9" max="9" width="9.140625" style="5" hidden="1" customWidth="1"/>
    <col min="10" max="10" width="12.42578125" hidden="1" customWidth="1"/>
    <col min="11" max="16384" width="9.140625" hidden="1"/>
  </cols>
  <sheetData>
    <row r="1" spans="1:5" x14ac:dyDescent="0.25"/>
    <row r="2" spans="1:5" x14ac:dyDescent="0.25"/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ht="20.25" x14ac:dyDescent="0.35">
      <c r="B8" s="33" t="s">
        <v>36</v>
      </c>
      <c r="C8" s="33"/>
      <c r="D8" s="33"/>
    </row>
    <row r="9" spans="1:5" ht="15.75" thickBot="1" x14ac:dyDescent="0.3"/>
    <row r="10" spans="1:5" ht="25.5" x14ac:dyDescent="0.5">
      <c r="B10" s="49" t="s">
        <v>12</v>
      </c>
      <c r="C10" s="50"/>
      <c r="D10" s="50"/>
      <c r="E10" s="51"/>
    </row>
    <row r="11" spans="1:5" ht="17.25" x14ac:dyDescent="0.3">
      <c r="B11" s="60" t="s">
        <v>27</v>
      </c>
      <c r="C11" s="61"/>
      <c r="D11" s="62"/>
      <c r="E11" s="40">
        <v>1900</v>
      </c>
    </row>
    <row r="12" spans="1:5" ht="17.25" x14ac:dyDescent="0.3">
      <c r="B12" s="60" t="s">
        <v>34</v>
      </c>
      <c r="C12" s="61"/>
      <c r="D12" s="62"/>
      <c r="E12" s="41">
        <v>25</v>
      </c>
    </row>
    <row r="13" spans="1:5" ht="18" thickBot="1" x14ac:dyDescent="0.35">
      <c r="B13" s="63" t="s">
        <v>26</v>
      </c>
      <c r="C13" s="64"/>
      <c r="D13" s="65"/>
      <c r="E13" s="42" t="s">
        <v>15</v>
      </c>
    </row>
    <row r="14" spans="1:5" x14ac:dyDescent="0.25"/>
    <row r="15" spans="1:5" ht="15.75" thickBot="1" x14ac:dyDescent="0.3"/>
    <row r="16" spans="1:5" ht="25.5" x14ac:dyDescent="0.5">
      <c r="A16" s="4">
        <v>0.1</v>
      </c>
      <c r="B16" s="49" t="s">
        <v>14</v>
      </c>
      <c r="C16" s="50"/>
      <c r="D16" s="50"/>
      <c r="E16" s="51"/>
    </row>
    <row r="17" spans="1:6" ht="17.25" x14ac:dyDescent="0.3">
      <c r="A17" s="4">
        <v>0.2</v>
      </c>
      <c r="B17" s="55" t="s">
        <v>11</v>
      </c>
      <c r="C17" s="56"/>
      <c r="D17" s="57"/>
      <c r="E17" s="34" cm="1">
        <f t="array" ref="E17">_xlfn.IFS(AND(Idade&lt;=30,Perfil="Conservador"),Background!B3,AND(Idade&lt;=30,Perfil="Moderado"),Background!B4,AND(Idade&lt;=30,Perfil="Agressivo"),Background!B5,AND(Idade&lt;=45,Perfil="Conservador"),Background!B6,AND(Idade&lt;=45,Perfil="Moderado"),Background!B7,AND(Idade&lt;=45,Perfil="Agressivo"),Background!B8,AND(Idade&gt;45,Perfil="Conservador"),Background!B9,AND(Idade&gt;45,Perfil="Moderado"),Background!B10,AND(Idade&gt;45,Perfil="Agressivo"),Background!B11)</f>
        <v>0.25</v>
      </c>
    </row>
    <row r="18" spans="1:6" ht="18" thickBot="1" x14ac:dyDescent="0.35">
      <c r="A18" s="4">
        <v>0.3</v>
      </c>
      <c r="B18" s="52" t="s">
        <v>9</v>
      </c>
      <c r="C18" s="53"/>
      <c r="D18" s="54"/>
      <c r="E18" s="9">
        <f>Salario*Percentual_Recomendado</f>
        <v>475</v>
      </c>
    </row>
    <row r="19" spans="1:6" ht="15.75" thickBot="1" x14ac:dyDescent="0.3"/>
    <row r="20" spans="1:6" ht="36.75" customHeight="1" x14ac:dyDescent="0.25">
      <c r="B20" s="76" t="str" cm="1">
        <f t="array" ref="B20">_xlfn.IFS(Percentual_Recomendado=15%,Background!E3,Percentual_Recomendado=20%,Background!E4,Percentual_Recomendado=25%,Background!E5,Percentual_Recomendado=10%,Background!E6,Percentual_Recomendado=17%,Background!E7,Percentual_Recomendado=23%,Background!E8,Percentual_Recomendado=22%,Background!E9,Percentual_Recomendado=26%,Background!E10,Percentual_Recomendado=30%,Background!E11)</f>
        <v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v>
      </c>
      <c r="C20" s="77"/>
      <c r="D20" s="77"/>
      <c r="E20" s="78"/>
    </row>
    <row r="21" spans="1:6" ht="34.5" customHeight="1" thickBot="1" x14ac:dyDescent="0.3">
      <c r="B21" s="79"/>
      <c r="C21" s="80"/>
      <c r="D21" s="80"/>
      <c r="E21" s="81"/>
    </row>
    <row r="22" spans="1:6" x14ac:dyDescent="0.25"/>
    <row r="23" spans="1:6" ht="24" customHeight="1" x14ac:dyDescent="0.3">
      <c r="B23" s="31" t="s">
        <v>37</v>
      </c>
      <c r="C23" s="31"/>
      <c r="D23" s="31"/>
    </row>
    <row r="24" spans="1:6" ht="15.75" thickBot="1" x14ac:dyDescent="0.3"/>
    <row r="25" spans="1:6" ht="25.5" x14ac:dyDescent="0.5">
      <c r="B25" s="49" t="s">
        <v>40</v>
      </c>
      <c r="C25" s="50"/>
      <c r="D25" s="50"/>
      <c r="E25" s="51"/>
    </row>
    <row r="26" spans="1:6" ht="17.25" x14ac:dyDescent="0.3">
      <c r="A26" s="2">
        <v>2</v>
      </c>
      <c r="B26" s="74" t="s">
        <v>10</v>
      </c>
      <c r="C26" s="75"/>
      <c r="D26" s="75"/>
      <c r="E26" s="38">
        <v>500</v>
      </c>
    </row>
    <row r="27" spans="1:6" ht="17.25" x14ac:dyDescent="0.3">
      <c r="A27" s="2">
        <v>5</v>
      </c>
      <c r="B27" s="70" t="s">
        <v>13</v>
      </c>
      <c r="C27" s="71"/>
      <c r="D27" s="71"/>
      <c r="E27" s="39">
        <v>3</v>
      </c>
    </row>
    <row r="28" spans="1:6" ht="18" thickBot="1" x14ac:dyDescent="0.35">
      <c r="A28" s="2">
        <v>10</v>
      </c>
      <c r="B28" s="72" t="s">
        <v>42</v>
      </c>
      <c r="C28" s="73"/>
      <c r="D28" s="73"/>
      <c r="E28" s="32">
        <v>8.0000000000000002E-3</v>
      </c>
      <c r="F28" t="s">
        <v>39</v>
      </c>
    </row>
    <row r="29" spans="1:6" x14ac:dyDescent="0.25">
      <c r="A29" s="2">
        <v>20</v>
      </c>
      <c r="D29" s="37" t="s">
        <v>74</v>
      </c>
    </row>
    <row r="30" spans="1:6" ht="15.75" thickBot="1" x14ac:dyDescent="0.3">
      <c r="A30" s="2">
        <v>30</v>
      </c>
    </row>
    <row r="31" spans="1:6" ht="17.25" x14ac:dyDescent="0.3">
      <c r="B31" s="68" t="s">
        <v>0</v>
      </c>
      <c r="C31" s="69"/>
      <c r="D31" s="69"/>
      <c r="E31" s="30">
        <f>FV(E28,E27*12,E26*-1,)</f>
        <v>20764.364798924751</v>
      </c>
    </row>
    <row r="32" spans="1:6" ht="18" thickBot="1" x14ac:dyDescent="0.35">
      <c r="B32" s="66" t="s">
        <v>7</v>
      </c>
      <c r="C32" s="67"/>
      <c r="D32" s="67"/>
      <c r="E32" s="12">
        <f>E31*E28</f>
        <v>166.11491839139802</v>
      </c>
    </row>
    <row r="33" spans="2:5" x14ac:dyDescent="0.25"/>
    <row r="34" spans="2:5" ht="15.75" thickBot="1" x14ac:dyDescent="0.3"/>
    <row r="35" spans="2:5" ht="26.25" thickBot="1" x14ac:dyDescent="0.55000000000000004">
      <c r="B35" s="58" t="s">
        <v>41</v>
      </c>
      <c r="C35" s="59"/>
      <c r="D35" s="3"/>
      <c r="E35" s="3"/>
    </row>
    <row r="36" spans="2:5" ht="17.25" x14ac:dyDescent="0.25">
      <c r="B36" s="29"/>
      <c r="C36" s="28"/>
      <c r="D36" s="25" t="s">
        <v>6</v>
      </c>
      <c r="E36" s="10" t="s">
        <v>38</v>
      </c>
    </row>
    <row r="37" spans="2:5" ht="17.25" x14ac:dyDescent="0.3">
      <c r="B37" s="47" t="s">
        <v>1</v>
      </c>
      <c r="C37" s="48"/>
      <c r="D37" s="26">
        <f>FV(taxa_rendimento,$A26*12,Quanto_investir_por_mes*-1)</f>
        <v>13171.577555559783</v>
      </c>
      <c r="E37" s="11">
        <f>$D37*taxa_rendimento</f>
        <v>105.37262044447827</v>
      </c>
    </row>
    <row r="38" spans="2:5" ht="17.25" x14ac:dyDescent="0.3">
      <c r="B38" s="47" t="s">
        <v>2</v>
      </c>
      <c r="C38" s="48"/>
      <c r="D38" s="26">
        <f>FV(taxa_rendimento,$A27*12,Quanto_investir_por_mes*-1)</f>
        <v>38311.933415940111</v>
      </c>
      <c r="E38" s="11">
        <f>$D38*taxa_rendimento</f>
        <v>306.49546732752088</v>
      </c>
    </row>
    <row r="39" spans="2:5" ht="17.25" x14ac:dyDescent="0.3">
      <c r="B39" s="47" t="s">
        <v>3</v>
      </c>
      <c r="C39" s="48"/>
      <c r="D39" s="26">
        <f>FV(taxa_rendimento,$A28*12,Quanto_investir_por_mes*-1)</f>
        <v>100108.73470495906</v>
      </c>
      <c r="E39" s="11">
        <f>$D39*taxa_rendimento</f>
        <v>800.8698776396725</v>
      </c>
    </row>
    <row r="40" spans="2:5" ht="17.25" x14ac:dyDescent="0.3">
      <c r="B40" s="47" t="s">
        <v>4</v>
      </c>
      <c r="C40" s="48"/>
      <c r="D40" s="26">
        <f>FV(taxa_rendimento,$A29*12,Quanto_investir_por_mes*-1)</f>
        <v>360565.60963756416</v>
      </c>
      <c r="E40" s="11">
        <f>$D40*taxa_rendimento</f>
        <v>2884.5248771005135</v>
      </c>
    </row>
    <row r="41" spans="2:5" ht="18" thickBot="1" x14ac:dyDescent="0.35">
      <c r="B41" s="45" t="s">
        <v>5</v>
      </c>
      <c r="C41" s="46"/>
      <c r="D41" s="27">
        <f>FV(taxa_rendimento,$A30*12,Quanto_investir_por_mes*-1)</f>
        <v>1038206.6156855426</v>
      </c>
      <c r="E41" s="12">
        <f>$D41*taxa_rendimento</f>
        <v>8305.6529254843408</v>
      </c>
    </row>
    <row r="42" spans="2:5" x14ac:dyDescent="0.25"/>
    <row r="43" spans="2:5" ht="16.5" x14ac:dyDescent="0.3">
      <c r="B43" s="31" t="s">
        <v>71</v>
      </c>
    </row>
    <row r="44" spans="2:5" ht="15.75" thickBot="1" x14ac:dyDescent="0.3"/>
    <row r="45" spans="2:5" ht="20.25" customHeight="1" thickBot="1" x14ac:dyDescent="0.35">
      <c r="B45" s="35" t="s">
        <v>43</v>
      </c>
      <c r="C45" s="36" t="s">
        <v>51</v>
      </c>
      <c r="D45" s="35" t="s">
        <v>73</v>
      </c>
      <c r="E45" s="35" t="s">
        <v>72</v>
      </c>
    </row>
    <row r="46" spans="2:5" ht="16.5" x14ac:dyDescent="0.3">
      <c r="B46" s="17" t="s">
        <v>44</v>
      </c>
      <c r="C46" s="23">
        <f>VLOOKUP(Perfil&amp;"-"&amp;B46,Background!A15:D33,4,FALSE)</f>
        <v>0.5</v>
      </c>
      <c r="D46" s="19">
        <f t="shared" ref="D46:D51" si="0">C46*valor_a_ser_investido</f>
        <v>237.5</v>
      </c>
      <c r="E46" s="20">
        <f t="shared" ref="E46:E51" si="1">C46*Quanto_investir_por_mes</f>
        <v>250</v>
      </c>
    </row>
    <row r="47" spans="2:5" ht="16.5" x14ac:dyDescent="0.3">
      <c r="B47" s="17" t="s">
        <v>45</v>
      </c>
      <c r="C47" s="23">
        <f>VLOOKUP(Perfil&amp;"-"&amp;B47,Background!A16:D38,4,FALSE)</f>
        <v>0.1</v>
      </c>
      <c r="D47" s="19">
        <f t="shared" si="0"/>
        <v>47.5</v>
      </c>
      <c r="E47" s="20">
        <f t="shared" si="1"/>
        <v>50</v>
      </c>
    </row>
    <row r="48" spans="2:5" ht="16.5" x14ac:dyDescent="0.3">
      <c r="B48" s="17" t="s">
        <v>46</v>
      </c>
      <c r="C48" s="23">
        <f>VLOOKUP(Perfil&amp;"-"&amp;B48,Background!A17:D39,4,FALSE)</f>
        <v>0.05</v>
      </c>
      <c r="D48" s="19">
        <f t="shared" si="0"/>
        <v>23.75</v>
      </c>
      <c r="E48" s="20">
        <f t="shared" si="1"/>
        <v>25</v>
      </c>
    </row>
    <row r="49" spans="2:5" ht="16.5" x14ac:dyDescent="0.3">
      <c r="B49" s="17" t="s">
        <v>47</v>
      </c>
      <c r="C49" s="23">
        <f>VLOOKUP(Perfil&amp;"-"&amp;B49,Background!A18:D40,4,FALSE)</f>
        <v>0.05</v>
      </c>
      <c r="D49" s="19">
        <f t="shared" si="0"/>
        <v>23.75</v>
      </c>
      <c r="E49" s="20">
        <f t="shared" si="1"/>
        <v>25</v>
      </c>
    </row>
    <row r="50" spans="2:5" ht="16.5" x14ac:dyDescent="0.3">
      <c r="B50" s="17" t="s">
        <v>48</v>
      </c>
      <c r="C50" s="23">
        <f>VLOOKUP(Perfil&amp;"-"&amp;B50,Background!A19:D41,4,FALSE)</f>
        <v>0.2</v>
      </c>
      <c r="D50" s="19">
        <f t="shared" si="0"/>
        <v>95</v>
      </c>
      <c r="E50" s="20">
        <f t="shared" si="1"/>
        <v>100</v>
      </c>
    </row>
    <row r="51" spans="2:5" ht="17.25" thickBot="1" x14ac:dyDescent="0.35">
      <c r="B51" s="18" t="s">
        <v>49</v>
      </c>
      <c r="C51" s="24">
        <f>VLOOKUP(Perfil&amp;"-"&amp;B51,Background!A20:D42,4,FALSE)</f>
        <v>0.1</v>
      </c>
      <c r="D51" s="21">
        <f t="shared" si="0"/>
        <v>47.5</v>
      </c>
      <c r="E51" s="22">
        <f t="shared" si="1"/>
        <v>50</v>
      </c>
    </row>
    <row r="52" spans="2:5" x14ac:dyDescent="0.25">
      <c r="D52" s="44"/>
      <c r="E52" s="43"/>
    </row>
    <row r="53" spans="2:5" x14ac:dyDescent="0.25"/>
    <row r="54" spans="2:5" x14ac:dyDescent="0.25"/>
    <row r="55" spans="2:5" x14ac:dyDescent="0.25"/>
    <row r="56" spans="2:5" x14ac:dyDescent="0.25"/>
    <row r="57" spans="2:5" x14ac:dyDescent="0.25"/>
    <row r="58" spans="2:5" x14ac:dyDescent="0.25"/>
    <row r="59" spans="2:5" x14ac:dyDescent="0.25"/>
    <row r="60" spans="2:5" x14ac:dyDescent="0.25"/>
    <row r="61" spans="2:5" x14ac:dyDescent="0.25"/>
    <row r="62" spans="2:5" x14ac:dyDescent="0.25"/>
    <row r="63" spans="2:5" x14ac:dyDescent="0.25"/>
    <row r="64" spans="2:5" x14ac:dyDescent="0.25"/>
    <row r="65" spans="2:2" x14ac:dyDescent="0.25"/>
    <row r="66" spans="2:2" x14ac:dyDescent="0.25"/>
    <row r="67" spans="2:2" x14ac:dyDescent="0.25"/>
    <row r="68" spans="2:2" x14ac:dyDescent="0.25"/>
    <row r="69" spans="2:2" x14ac:dyDescent="0.25"/>
    <row r="70" spans="2:2" ht="16.5" x14ac:dyDescent="0.3">
      <c r="B70" s="31"/>
    </row>
    <row r="71" spans="2:2" ht="16.5" x14ac:dyDescent="0.3">
      <c r="B71" s="31"/>
    </row>
    <row r="72" spans="2:2" ht="16.5" x14ac:dyDescent="0.3">
      <c r="B72" s="31"/>
    </row>
    <row r="73" spans="2:2" ht="16.5" x14ac:dyDescent="0.3">
      <c r="B73" s="31"/>
    </row>
    <row r="74" spans="2:2" ht="16.5" x14ac:dyDescent="0.3">
      <c r="B74" s="31"/>
    </row>
    <row r="75" spans="2:2" ht="16.5" x14ac:dyDescent="0.3">
      <c r="B75" s="31"/>
    </row>
    <row r="76" spans="2:2" ht="16.5" x14ac:dyDescent="0.3">
      <c r="B76" s="31"/>
    </row>
    <row r="77" spans="2:2" ht="16.5" x14ac:dyDescent="0.3">
      <c r="B77" s="31"/>
    </row>
    <row r="78" spans="2:2" ht="16.5" x14ac:dyDescent="0.3">
      <c r="B78" s="31"/>
    </row>
    <row r="79" spans="2:2" ht="16.5" x14ac:dyDescent="0.3">
      <c r="B79" s="31"/>
    </row>
    <row r="80" spans="2:2" ht="16.5" x14ac:dyDescent="0.3">
      <c r="B80" s="31"/>
    </row>
    <row r="81" spans="2:2" ht="16.5" x14ac:dyDescent="0.3">
      <c r="B81" s="31"/>
    </row>
    <row r="82" spans="2:2" ht="16.5" x14ac:dyDescent="0.3">
      <c r="B82" s="31"/>
    </row>
    <row r="83" spans="2:2" ht="16.5" x14ac:dyDescent="0.3">
      <c r="B83" s="31"/>
    </row>
    <row r="84" spans="2:2" ht="16.5" x14ac:dyDescent="0.3">
      <c r="B84" s="31"/>
    </row>
    <row r="85" spans="2:2" ht="16.5" x14ac:dyDescent="0.3">
      <c r="B85" s="31"/>
    </row>
    <row r="86" spans="2:2" ht="16.5" x14ac:dyDescent="0.3">
      <c r="B86" s="31"/>
    </row>
    <row r="87" spans="2:2" ht="16.5" x14ac:dyDescent="0.3">
      <c r="B87" s="31"/>
    </row>
    <row r="88" spans="2:2" x14ac:dyDescent="0.25"/>
    <row r="89" spans="2:2" x14ac:dyDescent="0.25"/>
    <row r="90" spans="2:2" x14ac:dyDescent="0.25"/>
    <row r="91" spans="2:2" x14ac:dyDescent="0.25"/>
    <row r="92" spans="2:2" x14ac:dyDescent="0.25"/>
    <row r="93" spans="2:2" x14ac:dyDescent="0.25"/>
    <row r="94" spans="2:2" x14ac:dyDescent="0.25"/>
    <row r="95" spans="2:2" x14ac:dyDescent="0.25"/>
    <row r="96" spans="2:2" x14ac:dyDescent="0.25"/>
    <row r="97" x14ac:dyDescent="0.25"/>
    <row r="98" x14ac:dyDescent="0.25"/>
  </sheetData>
  <sheetProtection sheet="1" selectLockedCells="1"/>
  <mergeCells count="20">
    <mergeCell ref="B10:E10"/>
    <mergeCell ref="B18:D18"/>
    <mergeCell ref="B17:D17"/>
    <mergeCell ref="B16:E16"/>
    <mergeCell ref="B35:C35"/>
    <mergeCell ref="B11:D11"/>
    <mergeCell ref="B12:D12"/>
    <mergeCell ref="B13:D13"/>
    <mergeCell ref="B32:D32"/>
    <mergeCell ref="B31:D31"/>
    <mergeCell ref="B27:D27"/>
    <mergeCell ref="B28:D28"/>
    <mergeCell ref="B26:D26"/>
    <mergeCell ref="B25:E25"/>
    <mergeCell ref="B20:E21"/>
    <mergeCell ref="B41:C41"/>
    <mergeCell ref="B40:C40"/>
    <mergeCell ref="B37:C37"/>
    <mergeCell ref="B38:C38"/>
    <mergeCell ref="B39:C39"/>
  </mergeCells>
  <dataValidations count="1">
    <dataValidation type="list" allowBlank="1" showInputMessage="1" showErrorMessage="1" sqref="F2" xr:uid="{F0D9C9DF-92C8-47E2-A300-3C3EAF2BDBEF}">
      <mc:AlternateContent xmlns:x12ac="http://schemas.microsoft.com/office/spreadsheetml/2011/1/ac" xmlns:mc="http://schemas.openxmlformats.org/markup-compatibility/2006">
        <mc:Choice Requires="x12ac">
          <x12ac:list>"Conservador,Moderado,Agressivo"</x12ac:list>
        </mc:Choice>
        <mc:Fallback>
          <formula1>"Conservador,Moderado,Agressivo"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86" fitToHeight="0" orientation="portrait" r:id="rId1"/>
  <rowBreaks count="1" manualBreakCount="1">
    <brk id="41" max="16383" man="1"/>
  </rowBreaks>
  <colBreaks count="1" manualBreakCount="1">
    <brk id="1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0AF0C-7F29-4301-9ECF-E77C4F09567A}">
          <x14:formula1>
            <xm:f>Background!$C$3:$C$5</xm:f>
          </x14:formula1>
          <xm:sqref>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9307-9981-43E7-B88A-9DCCC73A9CDF}">
  <dimension ref="A1:G33"/>
  <sheetViews>
    <sheetView workbookViewId="0">
      <selection activeCell="E6" sqref="E6"/>
    </sheetView>
  </sheetViews>
  <sheetFormatPr defaultRowHeight="15" x14ac:dyDescent="0.25"/>
  <cols>
    <col min="1" max="1" width="30.85546875" bestFit="1" customWidth="1"/>
    <col min="2" max="2" width="12.140625" bestFit="1" customWidth="1"/>
    <col min="3" max="3" width="13.42578125" customWidth="1"/>
    <col min="4" max="4" width="10.5703125" style="5" customWidth="1"/>
    <col min="5" max="5" width="23.7109375" bestFit="1" customWidth="1"/>
    <col min="6" max="6" width="23.140625" customWidth="1"/>
    <col min="7" max="7" width="20.85546875" customWidth="1"/>
  </cols>
  <sheetData>
    <row r="1" spans="1:5" x14ac:dyDescent="0.25">
      <c r="A1" s="7" t="s">
        <v>17</v>
      </c>
      <c r="B1" s="14"/>
      <c r="C1" s="8"/>
      <c r="D1"/>
      <c r="E1" t="s">
        <v>22</v>
      </c>
    </row>
    <row r="2" spans="1:5" x14ac:dyDescent="0.25">
      <c r="A2" t="s">
        <v>8</v>
      </c>
      <c r="B2" s="5" t="s">
        <v>18</v>
      </c>
      <c r="C2" t="s">
        <v>19</v>
      </c>
      <c r="D2"/>
    </row>
    <row r="3" spans="1:5" x14ac:dyDescent="0.25">
      <c r="A3" s="1">
        <v>-30</v>
      </c>
      <c r="B3" s="6">
        <v>0.15</v>
      </c>
      <c r="C3" t="s">
        <v>29</v>
      </c>
      <c r="D3"/>
      <c r="E3" t="s">
        <v>33</v>
      </c>
    </row>
    <row r="4" spans="1:5" x14ac:dyDescent="0.25">
      <c r="A4" s="1">
        <v>-30</v>
      </c>
      <c r="B4" s="6">
        <v>0.2</v>
      </c>
      <c r="C4" t="s">
        <v>16</v>
      </c>
      <c r="D4"/>
      <c r="E4" t="s">
        <v>25</v>
      </c>
    </row>
    <row r="5" spans="1:5" x14ac:dyDescent="0.25">
      <c r="A5" s="1">
        <v>-30</v>
      </c>
      <c r="B5" s="6">
        <v>0.25</v>
      </c>
      <c r="C5" t="s">
        <v>15</v>
      </c>
      <c r="D5"/>
      <c r="E5" t="s">
        <v>32</v>
      </c>
    </row>
    <row r="6" spans="1:5" x14ac:dyDescent="0.25">
      <c r="A6" s="1" t="s">
        <v>20</v>
      </c>
      <c r="B6" s="6">
        <v>0.1</v>
      </c>
      <c r="C6" t="s">
        <v>29</v>
      </c>
      <c r="D6"/>
      <c r="E6" t="s">
        <v>24</v>
      </c>
    </row>
    <row r="7" spans="1:5" x14ac:dyDescent="0.25">
      <c r="A7" s="1" t="s">
        <v>20</v>
      </c>
      <c r="B7" s="6">
        <v>0.17</v>
      </c>
      <c r="C7" t="s">
        <v>16</v>
      </c>
      <c r="D7"/>
      <c r="E7" t="s">
        <v>31</v>
      </c>
    </row>
    <row r="8" spans="1:5" x14ac:dyDescent="0.25">
      <c r="A8" s="1" t="s">
        <v>20</v>
      </c>
      <c r="B8" s="6">
        <v>0.23</v>
      </c>
      <c r="C8" t="s">
        <v>15</v>
      </c>
      <c r="D8"/>
      <c r="E8" t="s">
        <v>35</v>
      </c>
    </row>
    <row r="9" spans="1:5" x14ac:dyDescent="0.25">
      <c r="A9" s="1" t="s">
        <v>21</v>
      </c>
      <c r="B9" s="6">
        <v>0.22</v>
      </c>
      <c r="C9" t="s">
        <v>29</v>
      </c>
      <c r="D9"/>
      <c r="E9" t="s">
        <v>30</v>
      </c>
    </row>
    <row r="10" spans="1:5" x14ac:dyDescent="0.25">
      <c r="A10" s="1" t="s">
        <v>21</v>
      </c>
      <c r="B10" s="6">
        <v>0.26</v>
      </c>
      <c r="C10" t="s">
        <v>16</v>
      </c>
      <c r="D10"/>
      <c r="E10" t="s">
        <v>28</v>
      </c>
    </row>
    <row r="11" spans="1:5" x14ac:dyDescent="0.25">
      <c r="A11" s="1" t="s">
        <v>21</v>
      </c>
      <c r="B11" s="6">
        <v>0.3</v>
      </c>
      <c r="C11" t="s">
        <v>15</v>
      </c>
      <c r="D11"/>
      <c r="E11" t="s">
        <v>23</v>
      </c>
    </row>
    <row r="15" spans="1:5" x14ac:dyDescent="0.25">
      <c r="A15" t="s">
        <v>52</v>
      </c>
      <c r="B15" t="s">
        <v>50</v>
      </c>
      <c r="C15" t="s">
        <v>43</v>
      </c>
      <c r="D15" s="5" t="s">
        <v>51</v>
      </c>
    </row>
    <row r="16" spans="1:5" x14ac:dyDescent="0.25">
      <c r="A16" t="s">
        <v>53</v>
      </c>
      <c r="B16" t="s">
        <v>29</v>
      </c>
      <c r="C16" t="s">
        <v>44</v>
      </c>
      <c r="D16" s="5">
        <v>0.3</v>
      </c>
    </row>
    <row r="17" spans="1:7" x14ac:dyDescent="0.25">
      <c r="A17" t="s">
        <v>54</v>
      </c>
      <c r="B17" t="s">
        <v>29</v>
      </c>
      <c r="C17" t="s">
        <v>45</v>
      </c>
      <c r="D17" s="5">
        <v>0.5</v>
      </c>
    </row>
    <row r="18" spans="1:7" x14ac:dyDescent="0.25">
      <c r="A18" t="s">
        <v>55</v>
      </c>
      <c r="B18" t="s">
        <v>29</v>
      </c>
      <c r="C18" t="s">
        <v>46</v>
      </c>
      <c r="D18" s="5">
        <v>0.1</v>
      </c>
    </row>
    <row r="19" spans="1:7" x14ac:dyDescent="0.25">
      <c r="A19" t="s">
        <v>56</v>
      </c>
      <c r="B19" t="s">
        <v>29</v>
      </c>
      <c r="C19" t="s">
        <v>47</v>
      </c>
      <c r="D19" s="5">
        <v>0.1</v>
      </c>
    </row>
    <row r="20" spans="1:7" x14ac:dyDescent="0.25">
      <c r="A20" t="s">
        <v>57</v>
      </c>
      <c r="B20" t="s">
        <v>29</v>
      </c>
      <c r="C20" t="s">
        <v>48</v>
      </c>
      <c r="D20" s="5">
        <v>0</v>
      </c>
      <c r="G20" s="5"/>
    </row>
    <row r="21" spans="1:7" x14ac:dyDescent="0.25">
      <c r="A21" s="13" t="s">
        <v>58</v>
      </c>
      <c r="B21" s="13" t="s">
        <v>29</v>
      </c>
      <c r="C21" s="13" t="s">
        <v>49</v>
      </c>
      <c r="D21" s="15">
        <v>0</v>
      </c>
    </row>
    <row r="22" spans="1:7" x14ac:dyDescent="0.25">
      <c r="A22" t="s">
        <v>59</v>
      </c>
      <c r="B22" t="s">
        <v>16</v>
      </c>
      <c r="C22" t="s">
        <v>44</v>
      </c>
      <c r="D22" s="16">
        <v>0.32</v>
      </c>
    </row>
    <row r="23" spans="1:7" x14ac:dyDescent="0.25">
      <c r="A23" t="s">
        <v>60</v>
      </c>
      <c r="B23" t="s">
        <v>16</v>
      </c>
      <c r="C23" t="s">
        <v>45</v>
      </c>
      <c r="D23" s="5">
        <v>0.35</v>
      </c>
    </row>
    <row r="24" spans="1:7" x14ac:dyDescent="0.25">
      <c r="A24" t="s">
        <v>61</v>
      </c>
      <c r="B24" t="s">
        <v>16</v>
      </c>
      <c r="C24" t="s">
        <v>46</v>
      </c>
      <c r="D24" s="5">
        <v>0.08</v>
      </c>
    </row>
    <row r="25" spans="1:7" x14ac:dyDescent="0.25">
      <c r="A25" t="s">
        <v>62</v>
      </c>
      <c r="B25" t="s">
        <v>16</v>
      </c>
      <c r="C25" t="s">
        <v>47</v>
      </c>
      <c r="D25" s="5">
        <v>0.1</v>
      </c>
    </row>
    <row r="26" spans="1:7" x14ac:dyDescent="0.25">
      <c r="A26" t="s">
        <v>63</v>
      </c>
      <c r="B26" t="s">
        <v>16</v>
      </c>
      <c r="C26" t="s">
        <v>48</v>
      </c>
      <c r="D26" s="5">
        <v>0.1</v>
      </c>
    </row>
    <row r="27" spans="1:7" x14ac:dyDescent="0.25">
      <c r="A27" s="13" t="s">
        <v>64</v>
      </c>
      <c r="B27" s="13" t="s">
        <v>16</v>
      </c>
      <c r="C27" s="13" t="s">
        <v>49</v>
      </c>
      <c r="D27" s="15">
        <v>0.05</v>
      </c>
    </row>
    <row r="28" spans="1:7" x14ac:dyDescent="0.25">
      <c r="A28" t="s">
        <v>65</v>
      </c>
      <c r="B28" t="s">
        <v>15</v>
      </c>
      <c r="C28" t="s">
        <v>44</v>
      </c>
      <c r="D28" s="5">
        <v>0.5</v>
      </c>
    </row>
    <row r="29" spans="1:7" x14ac:dyDescent="0.25">
      <c r="A29" t="s">
        <v>66</v>
      </c>
      <c r="B29" t="s">
        <v>15</v>
      </c>
      <c r="C29" t="s">
        <v>45</v>
      </c>
      <c r="D29" s="5">
        <v>0.1</v>
      </c>
    </row>
    <row r="30" spans="1:7" x14ac:dyDescent="0.25">
      <c r="A30" t="s">
        <v>67</v>
      </c>
      <c r="B30" t="s">
        <v>15</v>
      </c>
      <c r="C30" t="s">
        <v>46</v>
      </c>
      <c r="D30" s="5">
        <v>0.05</v>
      </c>
    </row>
    <row r="31" spans="1:7" x14ac:dyDescent="0.25">
      <c r="A31" t="s">
        <v>68</v>
      </c>
      <c r="B31" t="s">
        <v>15</v>
      </c>
      <c r="C31" t="s">
        <v>47</v>
      </c>
      <c r="D31" s="5">
        <v>0.05</v>
      </c>
    </row>
    <row r="32" spans="1:7" x14ac:dyDescent="0.25">
      <c r="A32" t="s">
        <v>69</v>
      </c>
      <c r="B32" t="s">
        <v>15</v>
      </c>
      <c r="C32" t="s">
        <v>48</v>
      </c>
      <c r="D32" s="5">
        <v>0.2</v>
      </c>
    </row>
    <row r="33" spans="1:4" x14ac:dyDescent="0.25">
      <c r="A33" t="s">
        <v>70</v>
      </c>
      <c r="B33" t="s">
        <v>15</v>
      </c>
      <c r="C33" t="s">
        <v>49</v>
      </c>
      <c r="D33" s="5">
        <v>0.1</v>
      </c>
    </row>
  </sheetData>
  <phoneticPr fontId="9" type="noConversion"/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</vt:i4>
      </vt:variant>
    </vt:vector>
  </HeadingPairs>
  <TitlesOfParts>
    <vt:vector size="16" baseType="lpstr">
      <vt:lpstr>Simulador</vt:lpstr>
      <vt:lpstr>Background</vt:lpstr>
      <vt:lpstr>Idade</vt:lpstr>
      <vt:lpstr>patrimonio</vt:lpstr>
      <vt:lpstr>patrimonio_ac</vt:lpstr>
      <vt:lpstr>Percentagem_desejada</vt:lpstr>
      <vt:lpstr>Percentual_Recomendado</vt:lpstr>
      <vt:lpstr>Perfil</vt:lpstr>
      <vt:lpstr>Quanto_investir_por_mes</vt:lpstr>
      <vt:lpstr>Quantos_anos</vt:lpstr>
      <vt:lpstr>recomendacao20</vt:lpstr>
      <vt:lpstr>Resposta10</vt:lpstr>
      <vt:lpstr>Retonro_mensal</vt:lpstr>
      <vt:lpstr>Salario</vt:lpstr>
      <vt:lpstr>taxa_rendimento</vt:lpstr>
      <vt:lpstr>valor_a_ser_investido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Peres</dc:creator>
  <cp:lastModifiedBy>Lucas Peres</cp:lastModifiedBy>
  <cp:lastPrinted>2026-09-28T15:55:11Z</cp:lastPrinted>
  <dcterms:created xsi:type="dcterms:W3CDTF">2026-09-25T09:10:26Z</dcterms:created>
  <dcterms:modified xsi:type="dcterms:W3CDTF">2026-09-28T16:06:18Z</dcterms:modified>
</cp:coreProperties>
</file>